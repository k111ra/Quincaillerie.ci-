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ing Abidj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<sst xmlns="http://schemas.openxmlformats.org/spreadsheetml/2006/main" count="55" uniqueCount="46">
  <si>
    <t xml:space="preserve">Sourcing fournisseurs – Abidjan (recherche du 14/07/2026, prix en FCFA)</t>
  </si>
  <si>
    <t xml:space="preserve">#</t>
  </si>
  <si>
    <t xml:space="preserve">Article demandé</t>
  </si>
  <si>
    <t xml:space="preserve">Qté</t>
  </si>
  <si>
    <t xml:space="preserve">Unité</t>
  </si>
  <si>
    <t xml:space="preserve">Équivalent trouvé (marque dispo)</t>
  </si>
  <si>
    <t xml:space="preserve">Fournisseur</t>
  </si>
  <si>
    <t xml:space="preserve">Prix unit. (FCFA)</t>
  </si>
  <si>
    <t xml:space="preserve">Total (FCFA)</t>
  </si>
  <si>
    <t xml:space="preserve">Contact / Lien</t>
  </si>
  <si>
    <t xml:space="preserve">Remarques</t>
  </si>
  <si>
    <t xml:space="preserve">Burin marteau-piqueur φ30x400 mm (type PH65)</t>
  </si>
  <si>
    <t xml:space="preserve">PCS</t>
  </si>
  <si>
    <t xml:space="preserve">Burin hex 30x410 mm (plat ou pointu), compatible PH65/95</t>
  </si>
  <si>
    <t xml:space="preserve">Jumia CI (vendeur Quinc ci)</t>
  </si>
  <si>
    <t xml:space="preserve">jumia.ci - Tél 25 20 00 61 61</t>
  </si>
  <si>
    <t xml:space="preserve">Fiche produit indique 'convient pour 65/95'. Alternative : INGCO 30x410 pointu chez ARIA (7 000 F, en rupture au 14/07)</t>
  </si>
  <si>
    <t xml:space="preserve">Pinceau à peinture 2,5 pouces</t>
  </si>
  <si>
    <t xml:space="preserve">Pinceau INGCO 2" (50 mm) à 350 F ou 3" (75 mm) à 750 F</t>
  </si>
  <si>
    <t xml:space="preserve">ARIA CI</t>
  </si>
  <si>
    <t xml:space="preserve">aria.ci - Tél 27 22 25 17 15 / WhatsApp 07 11 60 55 11</t>
  </si>
  <si>
    <t xml:space="preserve">Le 2,5" (63 mm) est introuvable en ligne à Abidjan ; à confirmer par WhatsApp, sinon prendre le 3". Prix retenu : 3"</t>
  </si>
  <si>
    <t xml:space="preserve">Rouleau de peinture 4" fibres synthétiques</t>
  </si>
  <si>
    <t xml:space="preserve">Rouleau INGCO acrylique mini 100 mm (4")</t>
  </si>
  <si>
    <t xml:space="preserve">aria.ci - Tél 27 22 25 17 15</t>
  </si>
  <si>
    <t xml:space="preserve">Variante microfibre 4" à 850 F. Manchons de rechange 100 mm : 120 F (WADFOW)</t>
  </si>
  <si>
    <t xml:space="preserve">Mètre ruban en acier 50 m</t>
  </si>
  <si>
    <t xml:space="preserve">Décamètre INGCO 50 m x 12,5 mm ruban ACIER (réf HSMT0850)</t>
  </si>
  <si>
    <t xml:space="preserve">En stock. Version fibre de verre 50 m : 3 700 F (WADFOW) si l'acier n'est pas obligatoire</t>
  </si>
  <si>
    <t xml:space="preserve">Ruban de signalisation 50 mm x 250 m rouge/blanc</t>
  </si>
  <si>
    <t xml:space="preserve">ROL</t>
  </si>
  <si>
    <t xml:space="preserve">Bande de signalisation rouge et blanc</t>
  </si>
  <si>
    <t xml:space="preserve">ProduitBat CI / SIDIDIS / Euro Protection (EPCI)</t>
  </si>
  <si>
    <t xml:space="preserve">produitbat.ci ; sididis-ci.com ; epci-ci.com</t>
  </si>
  <si>
    <t xml:space="preserve">Prix ProduitBat 2 500 F/rouleau, métrage exact (250 m) à confirmer. EPCI vend le Rubaplast pro sur devis</t>
  </si>
  <si>
    <t xml:space="preserve">Barres rondes D20 / Q235</t>
  </si>
  <si>
    <t xml:space="preserve">M</t>
  </si>
  <si>
    <t xml:space="preserve">Fer rond lisse Ø20 mm acier doux (barres de 12 m) = 10 barres</t>
  </si>
  <si>
    <t xml:space="preserve">SOTACI / Abidjan Solution</t>
  </si>
  <si>
    <t xml:space="preserve">sotaci.com ; abidjansolution.biz - M. KOFFI 05 45 63 54 33 (WhatsApp)</t>
  </si>
  <si>
    <t xml:space="preserve">Prix sur devis (cours acier). 120 m ≈ 296 kg (2,47 kg/m). SOTACI = producteur local, fer à béton lisse</t>
  </si>
  <si>
    <t xml:space="preserve">Embout de ramassage pour Dongcheng Z1G-FF-6S</t>
  </si>
  <si>
    <t xml:space="preserve">Burin/pointe hex 17x280 mm SDS HEX INGCO (réf DBC0512801)</t>
  </si>
  <si>
    <t xml:space="preserve">Le Z1G-FF-6S a un emmanchement hexagonal 17 mm : le 17x280 mm est le bon format. Aussi dispo : burin plat 300x25x18 à 2 300 F</t>
  </si>
  <si>
    <t xml:space="preserve">Sous-total articles chiffrés</t>
  </si>
  <si>
    <t xml:space="preserve">Notes : prix relevés en ligne le 14/07/2026, hors livraison. Marques équivalentes (INGCO, WADFOW, Generic) retenues comme demandé. Fer rond D20 : demander un devis au cours du jour. Sous-total hors article 6 (fer rond, prix sur devis).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</si>
</sst>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EB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8" min="7" style="0" width="12"/>
    <col collapsed="false" customWidth="true" hidden="false" outlineLevel="0" max="9" min="9" style="0" width="30"/>
    <col collapsed="false" customWidth="true" hidden="false" outlineLevel="0" max="10" min="10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57.75" hidden="false" customHeight="true" outlineLevel="0" collapsed="false">
      <c r="A3" s="3" t="n">
        <v>1</v>
      </c>
      <c r="B3" s="3" t="s">
        <v>11</v>
      </c>
      <c r="C3" s="4" t="n">
        <v>10</v>
      </c>
      <c r="D3" s="4" t="s">
        <v>12</v>
      </c>
      <c r="E3" s="3" t="s">
        <v>13</v>
      </c>
      <c r="F3" s="3" t="s">
        <v>14</v>
      </c>
      <c r="G3" s="5" t="n">
        <v>9250</v>
      </c>
      <c r="H3" s="5" t="n">
        <f aca="false">C3*G3</f>
        <v>92500</v>
      </c>
      <c r="I3" s="3" t="s">
        <v>15</v>
      </c>
      <c r="J3" s="3" t="s">
        <v>16</v>
      </c>
    </row>
    <row r="4" customFormat="false" ht="57.75" hidden="false" customHeight="true" outlineLevel="0" collapsed="false">
      <c r="A4" s="6" t="n">
        <v>2</v>
      </c>
      <c r="B4" s="6" t="s">
        <v>17</v>
      </c>
      <c r="C4" s="7" t="n">
        <v>100</v>
      </c>
      <c r="D4" s="7" t="s">
        <v>12</v>
      </c>
      <c r="E4" s="6" t="s">
        <v>18</v>
      </c>
      <c r="F4" s="6" t="s">
        <v>19</v>
      </c>
      <c r="G4" s="8" t="n">
        <v>750</v>
      </c>
      <c r="H4" s="8" t="n">
        <f aca="false">C4*G4</f>
        <v>75000</v>
      </c>
      <c r="I4" s="6" t="s">
        <v>20</v>
      </c>
      <c r="J4" s="6" t="s">
        <v>21</v>
      </c>
    </row>
    <row r="5" customFormat="false" ht="57.75" hidden="false" customHeight="true" outlineLevel="0" collapsed="false">
      <c r="A5" s="3" t="n">
        <v>3</v>
      </c>
      <c r="B5" s="3" t="s">
        <v>22</v>
      </c>
      <c r="C5" s="4" t="n">
        <v>100</v>
      </c>
      <c r="D5" s="4" t="s">
        <v>12</v>
      </c>
      <c r="E5" s="3" t="s">
        <v>23</v>
      </c>
      <c r="F5" s="3" t="s">
        <v>19</v>
      </c>
      <c r="G5" s="5" t="n">
        <v>650</v>
      </c>
      <c r="H5" s="5" t="n">
        <f aca="false">C5*G5</f>
        <v>65000</v>
      </c>
      <c r="I5" s="3" t="s">
        <v>24</v>
      </c>
      <c r="J5" s="3" t="s">
        <v>25</v>
      </c>
    </row>
    <row r="6" customFormat="false" ht="57.75" hidden="false" customHeight="true" outlineLevel="0" collapsed="false">
      <c r="A6" s="6" t="n">
        <v>4</v>
      </c>
      <c r="B6" s="6" t="s">
        <v>26</v>
      </c>
      <c r="C6" s="7" t="n">
        <v>5</v>
      </c>
      <c r="D6" s="7" t="s">
        <v>12</v>
      </c>
      <c r="E6" s="6" t="s">
        <v>27</v>
      </c>
      <c r="F6" s="6" t="s">
        <v>19</v>
      </c>
      <c r="G6" s="8" t="n">
        <v>12000</v>
      </c>
      <c r="H6" s="8" t="n">
        <f aca="false">C6*G6</f>
        <v>60000</v>
      </c>
      <c r="I6" s="6" t="s">
        <v>24</v>
      </c>
      <c r="J6" s="6" t="s">
        <v>28</v>
      </c>
    </row>
    <row r="7" customFormat="false" ht="57.75" hidden="false" customHeight="true" outlineLevel="0" collapsed="false">
      <c r="A7" s="3" t="n">
        <v>5</v>
      </c>
      <c r="B7" s="3" t="s">
        <v>29</v>
      </c>
      <c r="C7" s="4" t="n">
        <v>30</v>
      </c>
      <c r="D7" s="4" t="s">
        <v>30</v>
      </c>
      <c r="E7" s="3" t="s">
        <v>31</v>
      </c>
      <c r="F7" s="3" t="s">
        <v>32</v>
      </c>
      <c r="G7" s="5" t="n">
        <v>2500</v>
      </c>
      <c r="H7" s="5" t="n">
        <f aca="false">C7*G7</f>
        <v>75000</v>
      </c>
      <c r="I7" s="3" t="s">
        <v>33</v>
      </c>
      <c r="J7" s="3" t="s">
        <v>34</v>
      </c>
    </row>
    <row r="8" customFormat="false" ht="57.75" hidden="false" customHeight="true" outlineLevel="0" collapsed="false">
      <c r="A8" s="6" t="n">
        <v>6</v>
      </c>
      <c r="B8" s="6" t="s">
        <v>35</v>
      </c>
      <c r="C8" s="7" t="n">
        <v>120</v>
      </c>
      <c r="D8" s="7" t="s">
        <v>36</v>
      </c>
      <c r="E8" s="6" t="s">
        <v>37</v>
      </c>
      <c r="F8" s="6" t="s">
        <v>38</v>
      </c>
      <c r="G8" s="8"/>
      <c r="H8" s="8"/>
      <c r="I8" s="6" t="s">
        <v>39</v>
      </c>
      <c r="J8" s="6" t="s">
        <v>40</v>
      </c>
    </row>
    <row r="9" customFormat="false" ht="57.75" hidden="false" customHeight="true" outlineLevel="0" collapsed="false">
      <c r="A9" s="3" t="n">
        <v>7</v>
      </c>
      <c r="B9" s="3" t="s">
        <v>41</v>
      </c>
      <c r="C9" s="4" t="n">
        <v>10</v>
      </c>
      <c r="D9" s="4" t="s">
        <v>12</v>
      </c>
      <c r="E9" s="3" t="s">
        <v>42</v>
      </c>
      <c r="F9" s="3" t="s">
        <v>19</v>
      </c>
      <c r="G9" s="5" t="n">
        <v>2100</v>
      </c>
      <c r="H9" s="5" t="n">
        <f aca="false">C9*G9</f>
        <v>21000</v>
      </c>
      <c r="I9" s="3" t="s">
        <v>24</v>
      </c>
      <c r="J9" s="3" t="s">
        <v>43</v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10" t="s">
        <v>44</v>
      </c>
      <c r="G10" s="9"/>
      <c r="H10" s="11" t="n">
        <f aca="false">SUM(H3:H9)</f>
        <v>388500</v>
      </c>
      <c r="I10" s="9"/>
      <c r="J10" s="9"/>
    </row>
    <row r="12" customFormat="false" ht="15" hidden="false" customHeight="false" outlineLevel="0" collapsed="false">
      <c r="A12" s="12" t="s">
        <v>45</v>
      </c>
      <c r="B12" s="12"/>
      <c r="C12" s="12"/>
      <c r="D12" s="12"/>
      <c r="E12" s="12"/>
      <c r="F12" s="12"/>
      <c r="G12" s="12"/>
      <c r="H12" s="12"/>
      <c r="I12" s="12"/>
      <c r="J12" s="12"/>
    </row>
  </sheetData>
  <mergeCells count="2">
    <mergeCell ref="A1:J1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2026-07-14T14:59:26Z</dcterms:created>
  <dc:creator>openpyxl</dc:creator>
  <dc:description/>
  <dc:language>en-US</dc:language>
  <cp:lastModifiedBy/>
  <dcterms:modified xsi:type="dcterms:W3CDTF">2026-07-14T14:59:26Z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