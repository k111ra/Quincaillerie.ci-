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laragon\www\quincaillerie\"/>
    </mc:Choice>
  </mc:AlternateContent>
  <xr:revisionPtr revIDLastSave="0" documentId="13_ncr:1_{BEE4997F-F43D-488F-BDEA-8C76E4D2907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ourcing Abidj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H9" i="1"/>
  <c r="H7" i="1"/>
  <c r="H6" i="1"/>
  <c r="H5" i="1"/>
  <c r="H4" i="1"/>
  <c r="H3" i="1"/>
  <c r="H12" i="1" s="1"/>
</calcChain>
</file>

<file path=xl/sharedStrings.xml><?xml version="1.0" encoding="utf-8"?>
<sst xmlns="http://schemas.openxmlformats.org/spreadsheetml/2006/main" count="77" uniqueCount="65">
  <si>
    <t>Sourcing fournisseurs – Abidjan (recherche du 14/07/2026, prix en FCFA)</t>
  </si>
  <si>
    <t>#</t>
  </si>
  <si>
    <t>Article demandé</t>
  </si>
  <si>
    <t>Qté</t>
  </si>
  <si>
    <t>Unité</t>
  </si>
  <si>
    <t>Équivalent trouvé (marque dispo)</t>
  </si>
  <si>
    <t>Fournisseur</t>
  </si>
  <si>
    <t>Prix unit. (FCFA)</t>
  </si>
  <si>
    <t>Total (FCFA)</t>
  </si>
  <si>
    <t>Contact</t>
  </si>
  <si>
    <t>Lien produit</t>
  </si>
  <si>
    <t>Remarques</t>
  </si>
  <si>
    <t>Burin marteau-piqueur φ30x400 mm (type PH65)</t>
  </si>
  <si>
    <t>PCS</t>
  </si>
  <si>
    <t>Burin hex 30x410 mm (plat ou pointu), compatible PH65/95</t>
  </si>
  <si>
    <t>Jumia CI (vendeur Quinc ci)</t>
  </si>
  <si>
    <t>Tél 25 20 00 61 61</t>
  </si>
  <si>
    <t>Voir sur Jumia</t>
  </si>
  <si>
    <t>Fiche produit : 'convient pour 65/95'. Alternative : INGCO 30x410 pointu chez ARIA (7 000 F, en rupture au 14/07)</t>
  </si>
  <si>
    <t>Pinceau à peinture 2,5 pouces</t>
  </si>
  <si>
    <t>Pinceau INGCO 2" (50 mm) à 350 F ou 3" (75 mm) à 750 F</t>
  </si>
  <si>
    <t>ARIA CI</t>
  </si>
  <si>
    <t>27 22 25 17 15 / WhatsApp 07 11 60 55 11</t>
  </si>
  <si>
    <t>Pinceau 3" ARIA</t>
  </si>
  <si>
    <t>Le 2,5" (63 mm) introuvable en ligne ; à confirmer par WhatsApp, sinon 3". Lien 2" : https://aria.ci/outillage/outillages-par-metier/peintres/pinceau-2-50mm-poignee-plastique-2-chptb78602-abidjan/</t>
  </si>
  <si>
    <t>Rouleau de peinture 4" fibres synthétiques</t>
  </si>
  <si>
    <t>Rouleau INGCO acrylique mini 100 mm (4")</t>
  </si>
  <si>
    <t>27 22 25 17 15</t>
  </si>
  <si>
    <t>Rouleau 4" ARIA</t>
  </si>
  <si>
    <t>Variante microfibre 4" : 850 F. Manchons de rechange 100 mm : 120 F (WADFOW)</t>
  </si>
  <si>
    <t>Mètre ruban en acier 50 m</t>
  </si>
  <si>
    <t>Décamètre INGCO 50 m x 12,5 mm ruban ACIER (réf HSMT0850)</t>
  </si>
  <si>
    <t>Décamètre acier ARIA</t>
  </si>
  <si>
    <t>En stock. Version fibre de verre 50 m : 3 700 F (WADFOW) si l'acier n'est pas obligatoire</t>
  </si>
  <si>
    <t>Ruban de signalisation 50 mm x 250 m rouge/blanc</t>
  </si>
  <si>
    <t>ROL</t>
  </si>
  <si>
    <t>Bande de signalisation rouge et blanc</t>
  </si>
  <si>
    <t>ProduitBat CI / SIDIDIS / EPCI</t>
  </si>
  <si>
    <t>produitbat.ci ; sididis-ci.com ; epci-ci.com</t>
  </si>
  <si>
    <t>Ruban SIDIDIS</t>
  </si>
  <si>
    <t>Prix ProduitBat 2 500 F/rouleau, métrage exact (250 m) à confirmer. Rubaplast EPCI : https://epci-ci.com/produit/ruban-de-signalisation-rubaplast/</t>
  </si>
  <si>
    <t>Barres rondes D20 / Q235</t>
  </si>
  <si>
    <t>M</t>
  </si>
  <si>
    <t>Fer rond lisse Ø20 mm acier doux (barres de 12 m) = 10 barres</t>
  </si>
  <si>
    <t>SOTACI / Abidjan Solution</t>
  </si>
  <si>
    <t>M. KOFFI 05 45 63 54 33 (WhatsApp)</t>
  </si>
  <si>
    <t>Fer lisse SOTACI</t>
  </si>
  <si>
    <t>Prix sur devis (cours acier). 120 m ≈ 296 kg (2,47 kg/m). SOTACI = producteur local</t>
  </si>
  <si>
    <t>Embout de ramassage pour Dongcheng Z1G-FF-6S</t>
  </si>
  <si>
    <t>Burin/pointe hex 17x280 mm SDS HEX INGCO (réf DBC0512801)</t>
  </si>
  <si>
    <t>Burin 17x280 ARIA</t>
  </si>
  <si>
    <t>Le Z1G-FF-6S a un emmanchement hex 17 mm : bon format. Aussi dispo : burin plat 300x25x18 à 2 300 F</t>
  </si>
  <si>
    <t>Pointe en acier blanc N°8</t>
  </si>
  <si>
    <t>BTE</t>
  </si>
  <si>
    <t>Pointes ASIL réf 8, acier brillant, étuis 500 g / 1 kg / 5 kg</t>
  </si>
  <si>
    <t>Universelle Industries (Yopougon ZI)</t>
  </si>
  <si>
    <t>27 23 46 78 83 / 05 45 00 30 00</t>
  </si>
  <si>
    <t>Pointes ASIL</t>
  </si>
  <si>
    <t>Fabricant local, réf 8 dispo, aspect brillant (= acier blanc). Vendu en carton 25/50 kg, prix sur devis — préciser le format de boîte voulu</t>
  </si>
  <si>
    <t>Meule Bosch (disque à meuler)</t>
  </si>
  <si>
    <t>Disque à meuler fer/acier 125x6x22,23 mm (lot de 2)</t>
  </si>
  <si>
    <t>Disque 125 Jumia</t>
  </si>
  <si>
    <t>2 950 F le lot de 2 (soit 1 475 F/pce). Quantité et diamètre (115/125/230) à préciser. 230x6x22,2 WADFOW dispo chez ARIA. Bosch d'origine non trouvé en ligne à Abidjan</t>
  </si>
  <si>
    <t>Sous-total articles chiffrés</t>
  </si>
  <si>
    <t>Notes : prix relevés en ligne le 14/07/2026, hors livraison. Marques équivalentes retenues comme demandé. Sur devis : fer rond D20 (SOTACI/Abidjan Solution) et pointes N°8 (Universelle Industries). Meule : quantité supposée 1 pce, à ajuster.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</si>
</sst>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1F8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1" xfId="0" applyBorder="1"/>
    <xf numFmtId="0" fontId="5" fillId="0" borderId="1" xfId="0" applyFont="1" applyBorder="1"/>
    <xf numFmtId="3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1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verselleindustries.com/produit/pointes/" TargetMode="External"/><Relationship Id="rId3" Type="http://schemas.openxmlformats.org/officeDocument/2006/relationships/hyperlink" Target="https://aria.ci/outillage/outillages-par-metier/peintres/rouleau-de-peinture-acrylique-mini-100mm-4-12mm-hrht281002-abidjan/" TargetMode="External"/><Relationship Id="rId7" Type="http://schemas.openxmlformats.org/officeDocument/2006/relationships/hyperlink" Target="https://aria.ci/outillage/accessoires-consommables/burins-plat-pointu-diamant/burin-pointu-17x280mm-sds-hex-dbc0512801-abidjan/" TargetMode="External"/><Relationship Id="rId2" Type="http://schemas.openxmlformats.org/officeDocument/2006/relationships/hyperlink" Target="https://aria.ci/outillage/outillages-par-metier/peintres/pinceau-3-75mm-poignee-plastique-chptb78603-abidjan/" TargetMode="External"/><Relationship Id="rId1" Type="http://schemas.openxmlformats.org/officeDocument/2006/relationships/hyperlink" Target="https://www.jumia.ci/generic-burin-marteau-piqueur-demolition-hex-30x410mm-1-piece-au-choix-20886039.html" TargetMode="External"/><Relationship Id="rId6" Type="http://schemas.openxmlformats.org/officeDocument/2006/relationships/hyperlink" Target="http://www.sotaci.com/catalogue/metallurgie/fer-a-beton/fr-a-beton-lisse" TargetMode="External"/><Relationship Id="rId5" Type="http://schemas.openxmlformats.org/officeDocument/2006/relationships/hyperlink" Target="https://sididis-ci.com/product/bande-de-signalisationn-rouge-et-blanc/" TargetMode="External"/><Relationship Id="rId4" Type="http://schemas.openxmlformats.org/officeDocument/2006/relationships/hyperlink" Target="https://aria.ci/outillage/outillages-a-main/metres-ruban-et-telemetres-laser/ingco-decametre-50m-x-12-5mm-ruban-acier-ingco-hsmt0850-abidjan/" TargetMode="External"/><Relationship Id="rId9" Type="http://schemas.openxmlformats.org/officeDocument/2006/relationships/hyperlink" Target="https://www.jumia.ci/generic-disque-a-meuler-feracier-125mm-201560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pane ySplit="2" topLeftCell="A3" activePane="bottomLeft" state="frozen"/>
      <selection pane="bottomLeft" sqref="A1:K1"/>
    </sheetView>
  </sheetViews>
  <sheetFormatPr baseColWidth="10" defaultColWidth="8.6640625" defaultRowHeight="14.4" x14ac:dyDescent="0.3"/>
  <cols>
    <col min="1" max="1" width="4" customWidth="1"/>
    <col min="2" max="2" width="26" customWidth="1"/>
    <col min="3" max="3" width="6" customWidth="1"/>
    <col min="4" max="4" width="7" customWidth="1"/>
    <col min="5" max="5" width="30" customWidth="1"/>
    <col min="6" max="6" width="24" customWidth="1"/>
    <col min="7" max="8" width="12" customWidth="1"/>
    <col min="9" max="9" width="26" customWidth="1"/>
    <col min="10" max="10" width="18" customWidth="1"/>
    <col min="11" max="11" width="42" customWidth="1"/>
  </cols>
  <sheetData>
    <row r="1" spans="1:11" ht="21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.7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57.75" customHeight="1" x14ac:dyDescent="0.3">
      <c r="A3" s="4">
        <v>1</v>
      </c>
      <c r="B3" s="4" t="s">
        <v>12</v>
      </c>
      <c r="C3" s="5">
        <v>10</v>
      </c>
      <c r="D3" s="5" t="s">
        <v>13</v>
      </c>
      <c r="E3" s="4" t="s">
        <v>14</v>
      </c>
      <c r="F3" s="4" t="s">
        <v>15</v>
      </c>
      <c r="G3" s="6">
        <v>9250</v>
      </c>
      <c r="H3" s="6">
        <f>C3*G3</f>
        <v>92500</v>
      </c>
      <c r="I3" s="4" t="s">
        <v>16</v>
      </c>
      <c r="J3" s="7" t="s">
        <v>17</v>
      </c>
      <c r="K3" s="4" t="s">
        <v>18</v>
      </c>
    </row>
    <row r="4" spans="1:11" ht="57.75" customHeight="1" x14ac:dyDescent="0.3">
      <c r="A4" s="8">
        <v>2</v>
      </c>
      <c r="B4" s="8" t="s">
        <v>19</v>
      </c>
      <c r="C4" s="9">
        <v>100</v>
      </c>
      <c r="D4" s="9" t="s">
        <v>13</v>
      </c>
      <c r="E4" s="8" t="s">
        <v>20</v>
      </c>
      <c r="F4" s="8" t="s">
        <v>21</v>
      </c>
      <c r="G4" s="10">
        <v>750</v>
      </c>
      <c r="H4" s="10">
        <f>C4*G4</f>
        <v>75000</v>
      </c>
      <c r="I4" s="8" t="s">
        <v>22</v>
      </c>
      <c r="J4" s="11" t="s">
        <v>23</v>
      </c>
      <c r="K4" s="8" t="s">
        <v>24</v>
      </c>
    </row>
    <row r="5" spans="1:11" ht="57.75" customHeight="1" x14ac:dyDescent="0.3">
      <c r="A5" s="4">
        <v>3</v>
      </c>
      <c r="B5" s="4" t="s">
        <v>25</v>
      </c>
      <c r="C5" s="5">
        <v>100</v>
      </c>
      <c r="D5" s="5" t="s">
        <v>13</v>
      </c>
      <c r="E5" s="4" t="s">
        <v>26</v>
      </c>
      <c r="F5" s="4" t="s">
        <v>21</v>
      </c>
      <c r="G5" s="6">
        <v>650</v>
      </c>
      <c r="H5" s="6">
        <f>C5*G5</f>
        <v>65000</v>
      </c>
      <c r="I5" s="4" t="s">
        <v>27</v>
      </c>
      <c r="J5" s="7" t="s">
        <v>28</v>
      </c>
      <c r="K5" s="4" t="s">
        <v>29</v>
      </c>
    </row>
    <row r="6" spans="1:11" ht="57.75" customHeight="1" x14ac:dyDescent="0.3">
      <c r="A6" s="8">
        <v>4</v>
      </c>
      <c r="B6" s="8" t="s">
        <v>30</v>
      </c>
      <c r="C6" s="9">
        <v>5</v>
      </c>
      <c r="D6" s="9" t="s">
        <v>13</v>
      </c>
      <c r="E6" s="8" t="s">
        <v>31</v>
      </c>
      <c r="F6" s="8" t="s">
        <v>21</v>
      </c>
      <c r="G6" s="10">
        <v>12000</v>
      </c>
      <c r="H6" s="10">
        <f>C6*G6</f>
        <v>60000</v>
      </c>
      <c r="I6" s="8" t="s">
        <v>27</v>
      </c>
      <c r="J6" s="11" t="s">
        <v>32</v>
      </c>
      <c r="K6" s="8" t="s">
        <v>33</v>
      </c>
    </row>
    <row r="7" spans="1:11" ht="57.75" customHeight="1" x14ac:dyDescent="0.3">
      <c r="A7" s="4">
        <v>5</v>
      </c>
      <c r="B7" s="4" t="s">
        <v>34</v>
      </c>
      <c r="C7" s="5">
        <v>30</v>
      </c>
      <c r="D7" s="5" t="s">
        <v>35</v>
      </c>
      <c r="E7" s="4" t="s">
        <v>36</v>
      </c>
      <c r="F7" s="4" t="s">
        <v>37</v>
      </c>
      <c r="G7" s="6">
        <v>2500</v>
      </c>
      <c r="H7" s="6">
        <f>C7*G7</f>
        <v>75000</v>
      </c>
      <c r="I7" s="4" t="s">
        <v>38</v>
      </c>
      <c r="J7" s="7" t="s">
        <v>39</v>
      </c>
      <c r="K7" s="4" t="s">
        <v>40</v>
      </c>
    </row>
    <row r="8" spans="1:11" ht="57.75" customHeight="1" x14ac:dyDescent="0.3">
      <c r="A8" s="8">
        <v>6</v>
      </c>
      <c r="B8" s="8" t="s">
        <v>41</v>
      </c>
      <c r="C8" s="9">
        <v>120</v>
      </c>
      <c r="D8" s="9" t="s">
        <v>42</v>
      </c>
      <c r="E8" s="8" t="s">
        <v>43</v>
      </c>
      <c r="F8" s="8" t="s">
        <v>44</v>
      </c>
      <c r="G8" s="10"/>
      <c r="H8" s="10"/>
      <c r="I8" s="8" t="s">
        <v>45</v>
      </c>
      <c r="J8" s="11" t="s">
        <v>46</v>
      </c>
      <c r="K8" s="8" t="s">
        <v>47</v>
      </c>
    </row>
    <row r="9" spans="1:11" ht="57.75" customHeight="1" x14ac:dyDescent="0.3">
      <c r="A9" s="4">
        <v>7</v>
      </c>
      <c r="B9" s="4" t="s">
        <v>48</v>
      </c>
      <c r="C9" s="5">
        <v>10</v>
      </c>
      <c r="D9" s="5" t="s">
        <v>13</v>
      </c>
      <c r="E9" s="4" t="s">
        <v>49</v>
      </c>
      <c r="F9" s="4" t="s">
        <v>21</v>
      </c>
      <c r="G9" s="6">
        <v>2100</v>
      </c>
      <c r="H9" s="6">
        <f>C9*G9</f>
        <v>21000</v>
      </c>
      <c r="I9" s="4" t="s">
        <v>27</v>
      </c>
      <c r="J9" s="7" t="s">
        <v>50</v>
      </c>
      <c r="K9" s="4" t="s">
        <v>51</v>
      </c>
    </row>
    <row r="10" spans="1:11" ht="57.75" customHeight="1" x14ac:dyDescent="0.3">
      <c r="A10" s="8">
        <v>8</v>
      </c>
      <c r="B10" s="8" t="s">
        <v>52</v>
      </c>
      <c r="C10" s="9">
        <v>6</v>
      </c>
      <c r="D10" s="9" t="s">
        <v>53</v>
      </c>
      <c r="E10" s="8" t="s">
        <v>54</v>
      </c>
      <c r="F10" s="8" t="s">
        <v>55</v>
      </c>
      <c r="G10" s="10"/>
      <c r="H10" s="10"/>
      <c r="I10" s="8" t="s">
        <v>56</v>
      </c>
      <c r="J10" s="11" t="s">
        <v>57</v>
      </c>
      <c r="K10" s="8" t="s">
        <v>58</v>
      </c>
    </row>
    <row r="11" spans="1:11" ht="57.75" customHeight="1" x14ac:dyDescent="0.3">
      <c r="A11" s="4">
        <v>9</v>
      </c>
      <c r="B11" s="4" t="s">
        <v>59</v>
      </c>
      <c r="C11" s="5">
        <v>1</v>
      </c>
      <c r="D11" s="5" t="s">
        <v>13</v>
      </c>
      <c r="E11" s="4" t="s">
        <v>60</v>
      </c>
      <c r="F11" s="4" t="s">
        <v>15</v>
      </c>
      <c r="G11" s="6">
        <v>1475</v>
      </c>
      <c r="H11" s="6">
        <f>C11*G11</f>
        <v>1475</v>
      </c>
      <c r="I11" s="4" t="s">
        <v>16</v>
      </c>
      <c r="J11" s="7" t="s">
        <v>61</v>
      </c>
      <c r="K11" s="4" t="s">
        <v>62</v>
      </c>
    </row>
    <row r="12" spans="1:11" x14ac:dyDescent="0.3">
      <c r="A12" s="12"/>
      <c r="B12" s="12"/>
      <c r="C12" s="12"/>
      <c r="D12" s="12"/>
      <c r="E12" s="12"/>
      <c r="F12" s="13" t="s">
        <v>63</v>
      </c>
      <c r="G12" s="12"/>
      <c r="H12" s="14">
        <f>SUM(H3:H11)</f>
        <v>389975</v>
      </c>
      <c r="I12" s="12"/>
      <c r="J12" s="12"/>
      <c r="K12" s="12"/>
    </row>
    <row r="14" spans="1:11" x14ac:dyDescent="0.3">
      <c r="A14" s="1" t="s">
        <v>64</v>
      </c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2">
    <mergeCell ref="A1:K1"/>
    <mergeCell ref="A14:K14"/>
  </mergeCells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0" r:id="rId8" xr:uid="{00000000-0004-0000-0000-000007000000}"/>
    <hyperlink ref="J11" r:id="rId9" xr:uid="{00000000-0004-0000-0000-000008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Sourcing Abidjan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Sidik</cp:lastModifiedBy>
  <cp:revision>0</cp:revision>
  <dcterms:created xsi:type="dcterms:W3CDTF">2026-07-14T15:10:47Z</dcterms:created>
  <dcterms:modified xsi:type="dcterms:W3CDTF">2026-08-03T15:02:48Z</dcterms:modified>
  <dc:language>en-US</dc:language>
</cp:coreProperties>
</file>